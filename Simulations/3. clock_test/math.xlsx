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Master Embedded\embedded materials\Private\Interface-20 ()\Simulations\clock_test\"/>
    </mc:Choice>
  </mc:AlternateContent>
  <bookViews>
    <workbookView xWindow="360" yWindow="20" windowWidth="20960" windowHeight="9720"/>
  </bookViews>
  <sheets>
    <sheet name="app" sheetId="14" r:id="rId1"/>
    <sheet name="U-2" sheetId="12" r:id="rId2"/>
    <sheet name="U-3" sheetId="13" r:id="rId3"/>
  </sheets>
  <calcPr calcId="152511"/>
</workbook>
</file>

<file path=xl/calcChain.xml><?xml version="1.0" encoding="utf-8"?>
<calcChain xmlns="http://schemas.openxmlformats.org/spreadsheetml/2006/main">
  <c r="B9" i="14" l="1"/>
  <c r="B1" i="14"/>
  <c r="B8" i="14" s="1"/>
  <c r="J6" i="12"/>
  <c r="B9" i="13"/>
  <c r="E9" i="13"/>
  <c r="B1" i="13"/>
  <c r="H9" i="13" s="1"/>
  <c r="B6" i="14" l="1"/>
  <c r="B7" i="14"/>
  <c r="B5" i="14"/>
  <c r="B3" i="14"/>
  <c r="B2" i="14"/>
  <c r="B4" i="14"/>
  <c r="H6" i="13"/>
  <c r="H1" i="13"/>
  <c r="E1" i="13" s="1"/>
  <c r="H2" i="13"/>
  <c r="E2" i="13" s="1"/>
  <c r="H6" i="12"/>
  <c r="E6" i="12" s="1"/>
  <c r="B9" i="12"/>
  <c r="E9" i="12" s="1"/>
  <c r="E6" i="13" l="1"/>
  <c r="J6" i="13"/>
  <c r="H9" i="12"/>
  <c r="B1" i="12"/>
  <c r="H1" i="12" s="1"/>
  <c r="E1" i="12" s="1"/>
  <c r="H2" i="12" l="1"/>
  <c r="E2" i="12" l="1"/>
</calcChain>
</file>

<file path=xl/sharedStrings.xml><?xml version="1.0" encoding="utf-8"?>
<sst xmlns="http://schemas.openxmlformats.org/spreadsheetml/2006/main" count="47" uniqueCount="26">
  <si>
    <t>prescaler</t>
  </si>
  <si>
    <t>TOP</t>
  </si>
  <si>
    <t>F_CPU (Hz)</t>
  </si>
  <si>
    <t>increment (Hz)</t>
  </si>
  <si>
    <t>overflow (Hz)</t>
  </si>
  <si>
    <t>increment (sec)</t>
  </si>
  <si>
    <t>overflow (sec)</t>
  </si>
  <si>
    <t>Desired freq / seg (Hz)</t>
  </si>
  <si>
    <t>Desired freq</t>
  </si>
  <si>
    <t>Time (s)</t>
  </si>
  <si>
    <t>c1</t>
  </si>
  <si>
    <t>c2</t>
  </si>
  <si>
    <t>c3</t>
  </si>
  <si>
    <t>c4</t>
  </si>
  <si>
    <t>c5</t>
  </si>
  <si>
    <t>c6</t>
  </si>
  <si>
    <t>c7</t>
  </si>
  <si>
    <t>c8</t>
  </si>
  <si>
    <t>1s</t>
  </si>
  <si>
    <t>2s</t>
  </si>
  <si>
    <t>6s</t>
  </si>
  <si>
    <t>24s</t>
  </si>
  <si>
    <t>2min</t>
  </si>
  <si>
    <t>12min</t>
  </si>
  <si>
    <t>1hr 24min</t>
  </si>
  <si>
    <t>11hr 12min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</si>
</sst>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J2" sqref="J2"/>
    </sheetView>
  </sheetViews>
  <sheetFormatPr defaultRowHeight="14.5" x14ac:dyDescent="0.35"/>
  <cols>
    <col min="3" max="3" width="19" customWidth="1"/>
  </cols>
  <sheetData>
    <row r="1" spans="1:3" x14ac:dyDescent="0.35">
      <c r="A1" t="s">
        <v>9</v>
      </c>
      <c r="B1">
        <f>5040*8</f>
        <v>40320</v>
      </c>
    </row>
    <row r="2" spans="1:3" x14ac:dyDescent="0.35">
      <c r="A2" t="s">
        <v>10</v>
      </c>
      <c r="B2">
        <f>MOD($B$1, 2)</f>
        <v>0</v>
      </c>
      <c r="C2" t="s">
        <v>18</v>
      </c>
    </row>
    <row r="3" spans="1:3" x14ac:dyDescent="0.35">
      <c r="A3" t="s">
        <v>11</v>
      </c>
      <c r="B3" s="1">
        <f>MOD(INT($B$1/2), 3)</f>
        <v>0</v>
      </c>
      <c r="C3" t="s">
        <v>19</v>
      </c>
    </row>
    <row r="4" spans="1:3" x14ac:dyDescent="0.35">
      <c r="A4" t="s">
        <v>12</v>
      </c>
      <c r="B4" s="1">
        <f>MOD(INT($B$1/6), 4)</f>
        <v>0</v>
      </c>
      <c r="C4" t="s">
        <v>20</v>
      </c>
    </row>
    <row r="5" spans="1:3" x14ac:dyDescent="0.35">
      <c r="A5" t="s">
        <v>13</v>
      </c>
      <c r="B5" s="1">
        <f>MOD(INT($B$1/24), 5)</f>
        <v>0</v>
      </c>
      <c r="C5" t="s">
        <v>21</v>
      </c>
    </row>
    <row r="6" spans="1:3" x14ac:dyDescent="0.35">
      <c r="A6" t="s">
        <v>14</v>
      </c>
      <c r="B6" s="1">
        <f>MOD(INT($B$1/120), 6)</f>
        <v>0</v>
      </c>
      <c r="C6" t="s">
        <v>22</v>
      </c>
    </row>
    <row r="7" spans="1:3" x14ac:dyDescent="0.35">
      <c r="A7" t="s">
        <v>15</v>
      </c>
      <c r="B7" s="1">
        <f>MOD(INT($B$1/720), 7)</f>
        <v>0</v>
      </c>
      <c r="C7" t="s">
        <v>23</v>
      </c>
    </row>
    <row r="8" spans="1:3" x14ac:dyDescent="0.35">
      <c r="A8" t="s">
        <v>16</v>
      </c>
      <c r="B8" s="1">
        <f>MOD(INT($B$1/5040), 8)</f>
        <v>0</v>
      </c>
      <c r="C8" t="s">
        <v>24</v>
      </c>
    </row>
    <row r="9" spans="1:3" x14ac:dyDescent="0.35">
      <c r="A9" t="s">
        <v>17</v>
      </c>
      <c r="B9" s="1">
        <f>MOD(INT($B$1/40320), 9)</f>
        <v>1</v>
      </c>
      <c r="C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G14" sqref="G14"/>
    </sheetView>
  </sheetViews>
  <sheetFormatPr defaultRowHeight="14.5" x14ac:dyDescent="0.35"/>
  <cols>
    <col min="1" max="1" width="19.08984375" customWidth="1"/>
    <col min="2" max="2" width="12.36328125" bestFit="1" customWidth="1"/>
    <col min="4" max="4" width="15.7265625" customWidth="1"/>
    <col min="5" max="5" width="11.81640625" bestFit="1" customWidth="1"/>
    <col min="7" max="7" width="18.6328125" customWidth="1"/>
  </cols>
  <sheetData>
    <row r="1" spans="1:10" x14ac:dyDescent="0.35">
      <c r="A1" t="s">
        <v>2</v>
      </c>
      <c r="B1">
        <f>8*10^6</f>
        <v>8000000</v>
      </c>
      <c r="D1" t="s">
        <v>5</v>
      </c>
      <c r="E1">
        <f>1/H1</f>
        <v>3.1999999999999999E-5</v>
      </c>
      <c r="G1" t="s">
        <v>3</v>
      </c>
      <c r="H1">
        <f>B1/B2</f>
        <v>31250</v>
      </c>
    </row>
    <row r="2" spans="1:10" x14ac:dyDescent="0.35">
      <c r="A2" t="s">
        <v>0</v>
      </c>
      <c r="B2">
        <v>256</v>
      </c>
      <c r="D2" t="s">
        <v>6</v>
      </c>
      <c r="E2">
        <f>1/H2</f>
        <v>1</v>
      </c>
      <c r="G2" t="s">
        <v>4</v>
      </c>
      <c r="H2">
        <f>B1/B2/B3</f>
        <v>1</v>
      </c>
    </row>
    <row r="3" spans="1:10" x14ac:dyDescent="0.35">
      <c r="A3" t="s">
        <v>1</v>
      </c>
      <c r="B3">
        <v>31250</v>
      </c>
    </row>
    <row r="6" spans="1:10" x14ac:dyDescent="0.35">
      <c r="A6" t="s">
        <v>0</v>
      </c>
      <c r="B6">
        <v>1024</v>
      </c>
      <c r="C6">
        <v>4</v>
      </c>
      <c r="D6" t="s">
        <v>6</v>
      </c>
      <c r="E6">
        <f>1/H6</f>
        <v>4.7359999999999998E-3</v>
      </c>
      <c r="G6" t="s">
        <v>4</v>
      </c>
      <c r="H6">
        <f>B1/B6/B7</f>
        <v>211.14864864864865</v>
      </c>
      <c r="J6">
        <f>H6/3</f>
        <v>70.382882882882882</v>
      </c>
    </row>
    <row r="7" spans="1:10" x14ac:dyDescent="0.35">
      <c r="A7" t="s">
        <v>1</v>
      </c>
      <c r="B7">
        <v>37</v>
      </c>
    </row>
    <row r="8" spans="1:10" x14ac:dyDescent="0.35">
      <c r="A8" t="s">
        <v>7</v>
      </c>
      <c r="B8">
        <v>70</v>
      </c>
    </row>
    <row r="9" spans="1:10" x14ac:dyDescent="0.35">
      <c r="A9" t="s">
        <v>8</v>
      </c>
      <c r="B9">
        <f>B8*3</f>
        <v>210</v>
      </c>
      <c r="D9" t="s">
        <v>6</v>
      </c>
      <c r="E9">
        <f>1/B9</f>
        <v>4.7619047619047623E-3</v>
      </c>
      <c r="G9" t="s">
        <v>1</v>
      </c>
      <c r="H9">
        <f>B1/B6/B9</f>
        <v>37.202380952380949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A10" workbookViewId="0">
      <selection activeCell="C15" sqref="C15:C16"/>
    </sheetView>
  </sheetViews>
  <sheetFormatPr defaultRowHeight="14.5" x14ac:dyDescent="0.35"/>
  <cols>
    <col min="1" max="1" width="19.08984375" customWidth="1"/>
    <col min="2" max="2" width="12.36328125" bestFit="1" customWidth="1"/>
    <col min="4" max="4" width="15.7265625" customWidth="1"/>
    <col min="5" max="5" width="11.81640625" bestFit="1" customWidth="1"/>
    <col min="7" max="7" width="18.6328125" customWidth="1"/>
  </cols>
  <sheetData>
    <row r="1" spans="1:10" x14ac:dyDescent="0.35">
      <c r="A1" t="s">
        <v>2</v>
      </c>
      <c r="B1">
        <f>8*10^6</f>
        <v>8000000</v>
      </c>
      <c r="D1" t="s">
        <v>5</v>
      </c>
      <c r="E1">
        <f>1/H1</f>
        <v>3.1999999999999999E-5</v>
      </c>
      <c r="G1" t="s">
        <v>3</v>
      </c>
      <c r="H1">
        <f>B1/B2</f>
        <v>31250</v>
      </c>
    </row>
    <row r="2" spans="1:10" x14ac:dyDescent="0.35">
      <c r="A2" t="s">
        <v>0</v>
      </c>
      <c r="B2">
        <v>256</v>
      </c>
      <c r="D2" t="s">
        <v>6</v>
      </c>
      <c r="E2">
        <f>1/H2</f>
        <v>1</v>
      </c>
      <c r="G2" t="s">
        <v>4</v>
      </c>
      <c r="H2">
        <f>B1/B2/B3</f>
        <v>1</v>
      </c>
    </row>
    <row r="3" spans="1:10" x14ac:dyDescent="0.35">
      <c r="A3" t="s">
        <v>1</v>
      </c>
      <c r="B3">
        <v>31250</v>
      </c>
    </row>
    <row r="6" spans="1:10" x14ac:dyDescent="0.35">
      <c r="A6" t="s">
        <v>0</v>
      </c>
      <c r="B6">
        <v>1024</v>
      </c>
      <c r="C6">
        <v>4</v>
      </c>
      <c r="D6" t="s">
        <v>6</v>
      </c>
      <c r="E6">
        <f>1/H6</f>
        <v>3.5839999999999995E-3</v>
      </c>
      <c r="G6" t="s">
        <v>4</v>
      </c>
      <c r="H6">
        <f>B1/B6/B7</f>
        <v>279.01785714285717</v>
      </c>
      <c r="J6">
        <f>H6/4</f>
        <v>69.754464285714292</v>
      </c>
    </row>
    <row r="7" spans="1:10" x14ac:dyDescent="0.35">
      <c r="A7" t="s">
        <v>1</v>
      </c>
      <c r="B7">
        <v>28</v>
      </c>
    </row>
    <row r="8" spans="1:10" x14ac:dyDescent="0.35">
      <c r="A8" t="s">
        <v>7</v>
      </c>
      <c r="B8">
        <v>70</v>
      </c>
    </row>
    <row r="9" spans="1:10" x14ac:dyDescent="0.35">
      <c r="A9" t="s">
        <v>8</v>
      </c>
      <c r="B9">
        <f>B8*4</f>
        <v>280</v>
      </c>
      <c r="D9" t="s">
        <v>6</v>
      </c>
      <c r="E9">
        <f>1/B9</f>
        <v>3.5714285714285713E-3</v>
      </c>
      <c r="G9" t="s">
        <v>1</v>
      </c>
      <c r="H9">
        <f>B1/B6/B9</f>
        <v>27.901785714285715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</vt:lpstr>
      <vt:lpstr>U-2</vt:lpstr>
      <vt:lpstr>U-3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eyad</cp:lastModifiedBy>
  <cp:revision>3</cp:revision>
  <dcterms:created xsi:type="dcterms:W3CDTF">2015-06-05T18:17:20Z</dcterms:created>
  <dcterms:modified xsi:type="dcterms:W3CDTF">2026-09-28T10:44:35Z</dcterms:modified>
</cp:coreProperties>
</file>