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Master Embedded\embedded materials\Private\Interface-21 (ATmega32)\Simulations\6. ultrasonic\"/>
    </mc:Choice>
  </mc:AlternateContent>
  <bookViews>
    <workbookView xWindow="360" yWindow="20" windowWidth="20960" windowHeight="9720"/>
  </bookViews>
  <sheets>
    <sheet name="U-3" sheetId="11" r:id="rId1"/>
  </sheets>
  <calcPr calcId="152511"/>
</workbook>
</file>

<file path=xl/calcChain.xml><?xml version="1.0" encoding="utf-8"?>
<calcChain xmlns="http://schemas.openxmlformats.org/spreadsheetml/2006/main">
  <c r="E16" i="11" l="1"/>
  <c r="H15" i="11"/>
  <c r="B12" i="11" l="1"/>
  <c r="B13" i="11"/>
  <c r="E18" i="11" l="1"/>
  <c r="E10" i="11"/>
  <c r="H10" i="11" s="1"/>
  <c r="E19" i="11" l="1"/>
  <c r="H19" i="11" s="1"/>
  <c r="H18" i="11"/>
  <c r="H16" i="11"/>
  <c r="E26" i="11"/>
  <c r="H7" i="11"/>
  <c r="H8" i="11"/>
  <c r="H9" i="11"/>
  <c r="E9" i="11"/>
  <c r="D26" i="11"/>
  <c r="B8" i="11" l="1"/>
  <c r="F18" i="11" l="1"/>
  <c r="I18" i="11"/>
  <c r="B7" i="11"/>
  <c r="B3" i="11" l="1"/>
  <c r="B4" i="11" l="1"/>
  <c r="E7" i="11" l="1"/>
  <c r="E15" i="11"/>
  <c r="E8" i="11"/>
  <c r="B1" i="11" l="1"/>
  <c r="H1" i="11" l="1"/>
  <c r="E1" i="11" s="1"/>
  <c r="H2" i="11"/>
  <c r="E2" i="11" l="1"/>
</calcChain>
</file>

<file path=xl/sharedStrings.xml><?xml version="1.0" encoding="utf-8"?>
<sst xmlns="http://schemas.openxmlformats.org/spreadsheetml/2006/main" count="38" uniqueCount="23">
  <si>
    <t>F_CPU (Hz)</t>
  </si>
  <si>
    <t>Sound Speed (cm/s)</t>
  </si>
  <si>
    <t>increment (Hz)</t>
  </si>
  <si>
    <t>overflow (Hz)</t>
  </si>
  <si>
    <t>Max Distance (cm)</t>
  </si>
  <si>
    <t>Min Distance (cm)</t>
  </si>
  <si>
    <t>increment (sec)</t>
  </si>
  <si>
    <t>overflow (sec)</t>
  </si>
  <si>
    <t>Temperature (K)</t>
  </si>
  <si>
    <t>Des Distance (cm)</t>
  </si>
  <si>
    <t>Min TOP</t>
  </si>
  <si>
    <t>Max TOP</t>
  </si>
  <si>
    <t>Time (sec)</t>
  </si>
  <si>
    <t>Freq (Hz)</t>
  </si>
  <si>
    <t>Distance (cm)</t>
  </si>
  <si>
    <t>Des TOP (NO)</t>
  </si>
  <si>
    <t>TOP (NO)</t>
  </si>
  <si>
    <t>prescaler (NO)</t>
  </si>
  <si>
    <t>Time (Hz)</t>
  </si>
  <si>
    <t>a</t>
  </si>
  <si>
    <t>b</t>
  </si>
  <si>
    <t>// the reason for div2 is, we're only interested on the first half of the frequency.</t>
  </si>
  <si>
    <t>Gen Freq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</si>
</sst>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00"/>
  </numFmts>
  <fonts count="2" x14ac:knownFonts="1"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topLeftCell="A4" workbookViewId="0">
      <selection activeCell="E16" sqref="E16"/>
    </sheetView>
  </sheetViews>
  <sheetFormatPr defaultRowHeight="14.5" x14ac:dyDescent="0.35"/>
  <cols>
    <col min="1" max="1" width="19.08984375" customWidth="1"/>
    <col min="2" max="2" width="12.36328125" bestFit="1" customWidth="1"/>
    <col min="4" max="4" width="15.7265625" customWidth="1"/>
    <col min="5" max="5" width="11.81640625" bestFit="1" customWidth="1"/>
    <col min="7" max="7" width="18.6328125" customWidth="1"/>
    <col min="8" max="8" width="10.81640625" bestFit="1" customWidth="1"/>
    <col min="10" max="10" width="15.7265625" bestFit="1" customWidth="1"/>
    <col min="11" max="11" width="10.36328125" bestFit="1" customWidth="1"/>
  </cols>
  <sheetData>
    <row r="1" spans="1:10" x14ac:dyDescent="0.35">
      <c r="A1" t="s">
        <v>0</v>
      </c>
      <c r="B1">
        <f>8*10^6</f>
        <v>8000000</v>
      </c>
      <c r="D1" t="s">
        <v>6</v>
      </c>
      <c r="E1">
        <f>1/H1</f>
        <v>9.9999999999999995E-7</v>
      </c>
      <c r="G1" t="s">
        <v>2</v>
      </c>
      <c r="H1">
        <f>B1/B2</f>
        <v>1000000</v>
      </c>
    </row>
    <row r="2" spans="1:10" x14ac:dyDescent="0.35">
      <c r="A2" t="s">
        <v>17</v>
      </c>
      <c r="B2">
        <v>8</v>
      </c>
      <c r="D2" t="s">
        <v>7</v>
      </c>
      <c r="E2">
        <f>1/H2</f>
        <v>6.5535999999999997E-2</v>
      </c>
      <c r="G2" t="s">
        <v>3</v>
      </c>
      <c r="H2">
        <f>B1/B2/B3</f>
        <v>15.2587890625</v>
      </c>
    </row>
    <row r="3" spans="1:10" x14ac:dyDescent="0.35">
      <c r="A3" t="s">
        <v>16</v>
      </c>
      <c r="B3">
        <f>2^16</f>
        <v>65536</v>
      </c>
    </row>
    <row r="4" spans="1:10" x14ac:dyDescent="0.35">
      <c r="A4" t="s">
        <v>1</v>
      </c>
      <c r="B4" s="1">
        <f>(1.4*287*(B6+273))^0.5*10^2</f>
        <v>34892.033474705939</v>
      </c>
    </row>
    <row r="5" spans="1:10" x14ac:dyDescent="0.35">
      <c r="B5" s="1"/>
      <c r="C5">
        <v>34892.033474705902</v>
      </c>
    </row>
    <row r="6" spans="1:10" x14ac:dyDescent="0.35">
      <c r="A6" t="s">
        <v>8</v>
      </c>
      <c r="B6">
        <v>30</v>
      </c>
    </row>
    <row r="7" spans="1:10" x14ac:dyDescent="0.35">
      <c r="A7" t="s">
        <v>4</v>
      </c>
      <c r="B7">
        <f>450</f>
        <v>450</v>
      </c>
      <c r="D7" t="s">
        <v>12</v>
      </c>
      <c r="E7">
        <f>B7*2/B4</f>
        <v>2.5793853506773438E-2</v>
      </c>
      <c r="G7" t="s">
        <v>13</v>
      </c>
      <c r="H7">
        <f>1/E7/2</f>
        <v>19.384463041503299</v>
      </c>
      <c r="I7" s="5" t="s">
        <v>21</v>
      </c>
      <c r="J7" s="5"/>
    </row>
    <row r="8" spans="1:10" x14ac:dyDescent="0.35">
      <c r="A8" t="s">
        <v>5</v>
      </c>
      <c r="B8">
        <f>2</f>
        <v>2</v>
      </c>
      <c r="D8" t="s">
        <v>12</v>
      </c>
      <c r="E8">
        <f>B8*2/B4</f>
        <v>1.1463934891899306E-4</v>
      </c>
      <c r="G8" t="s">
        <v>13</v>
      </c>
      <c r="H8">
        <f>1/E8/2</f>
        <v>4361.5041843382423</v>
      </c>
      <c r="I8" s="5"/>
      <c r="J8" s="5"/>
    </row>
    <row r="9" spans="1:10" x14ac:dyDescent="0.35">
      <c r="A9" t="s">
        <v>9</v>
      </c>
      <c r="B9">
        <v>442</v>
      </c>
      <c r="D9" t="s">
        <v>12</v>
      </c>
      <c r="E9">
        <f>B9*2/B4</f>
        <v>2.5335296111097468E-2</v>
      </c>
      <c r="G9" t="s">
        <v>13</v>
      </c>
      <c r="H9">
        <f>1/E9/2</f>
        <v>19.735313051304264</v>
      </c>
      <c r="I9" s="5"/>
      <c r="J9" s="5"/>
    </row>
    <row r="10" spans="1:10" x14ac:dyDescent="0.35">
      <c r="A10" t="s">
        <v>22</v>
      </c>
      <c r="B10">
        <v>20</v>
      </c>
      <c r="D10" t="s">
        <v>12</v>
      </c>
      <c r="E10">
        <f>1/(B10*2)</f>
        <v>2.5000000000000001E-2</v>
      </c>
      <c r="G10" t="s">
        <v>14</v>
      </c>
      <c r="H10">
        <f>B4*E10/2</f>
        <v>436.15041843382426</v>
      </c>
      <c r="I10" s="5"/>
      <c r="J10" s="5"/>
    </row>
    <row r="12" spans="1:10" ht="14.5" customHeight="1" x14ac:dyDescent="0.35">
      <c r="A12" t="s">
        <v>11</v>
      </c>
      <c r="B12" s="2">
        <f>(B1/B2)/(H7*2) -1</f>
        <v>25792.853506773441</v>
      </c>
    </row>
    <row r="13" spans="1:10" x14ac:dyDescent="0.35">
      <c r="A13" t="s">
        <v>10</v>
      </c>
      <c r="B13">
        <f>(B1/B2)/(H8*2)-1</f>
        <v>113.63934891899306</v>
      </c>
    </row>
    <row r="15" spans="1:10" x14ac:dyDescent="0.35">
      <c r="A15" t="s">
        <v>9</v>
      </c>
      <c r="B15">
        <v>450</v>
      </c>
      <c r="D15" t="s">
        <v>12</v>
      </c>
      <c r="E15">
        <f>B15*2/B4</f>
        <v>2.5793853506773438E-2</v>
      </c>
      <c r="G15" t="s">
        <v>16</v>
      </c>
      <c r="H15">
        <f>(B1/B2)*(E15)-1</f>
        <v>25792.853506773437</v>
      </c>
    </row>
    <row r="16" spans="1:10" x14ac:dyDescent="0.35">
      <c r="A16" t="s">
        <v>15</v>
      </c>
      <c r="B16">
        <v>25793</v>
      </c>
      <c r="D16" t="s">
        <v>12</v>
      </c>
      <c r="E16">
        <f>B16/(B1/B2)</f>
        <v>2.5793E-2</v>
      </c>
      <c r="G16" t="s">
        <v>14</v>
      </c>
      <c r="H16">
        <f>B4*E16/2</f>
        <v>449.98510970654513</v>
      </c>
    </row>
    <row r="18" spans="1:9" x14ac:dyDescent="0.35">
      <c r="A18" t="s">
        <v>9</v>
      </c>
      <c r="B18">
        <v>450</v>
      </c>
      <c r="D18" t="s">
        <v>18</v>
      </c>
      <c r="E18">
        <f>B4/(B18*2)/2</f>
        <v>19.384463041503299</v>
      </c>
      <c r="F18" s="3">
        <f>ROUND(E18, 0)</f>
        <v>19</v>
      </c>
      <c r="G18" t="s">
        <v>16</v>
      </c>
      <c r="H18">
        <f>(B1/B2)/(E18*2)-1</f>
        <v>25792.853506773441</v>
      </c>
      <c r="I18" s="3">
        <f>ROUND(B1/B2/2/E18-1, 0)</f>
        <v>25793</v>
      </c>
    </row>
    <row r="19" spans="1:9" x14ac:dyDescent="0.35">
      <c r="A19" t="s">
        <v>15</v>
      </c>
      <c r="B19">
        <v>25793</v>
      </c>
      <c r="D19" t="s">
        <v>18</v>
      </c>
      <c r="E19">
        <f>(B1/B2)/(B19*2)</f>
        <v>19.385104485713178</v>
      </c>
      <c r="G19" t="s">
        <v>14</v>
      </c>
      <c r="H19">
        <f>B4/E19/2/2</f>
        <v>449.98510970654513</v>
      </c>
    </row>
    <row r="24" spans="1:9" x14ac:dyDescent="0.35">
      <c r="D24" t="s">
        <v>19</v>
      </c>
      <c r="E24">
        <v>65000</v>
      </c>
    </row>
    <row r="25" spans="1:9" x14ac:dyDescent="0.35">
      <c r="D25" t="s">
        <v>20</v>
      </c>
      <c r="E25">
        <v>1000</v>
      </c>
    </row>
    <row r="26" spans="1:9" x14ac:dyDescent="0.35">
      <c r="D26" s="4">
        <f>2^16</f>
        <v>65536</v>
      </c>
      <c r="E26">
        <f>D26+E25-E24</f>
        <v>1536</v>
      </c>
    </row>
  </sheetData>
  <mergeCells count="1">
    <mergeCell ref="I7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U-3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eyad</cp:lastModifiedBy>
  <cp:revision>3</cp:revision>
  <dcterms:created xsi:type="dcterms:W3CDTF">2015-06-05T18:17:20Z</dcterms:created>
  <dcterms:modified xsi:type="dcterms:W3CDTF">2026-10-10T14:06:03Z</dcterms:modified>
</cp:coreProperties>
</file>